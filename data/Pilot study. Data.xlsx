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5fc2ea72e888630e/Desktop/Caffeine/"/>
    </mc:Choice>
  </mc:AlternateContent>
  <xr:revisionPtr revIDLastSave="464" documentId="13_ncr:1_{ADF06C5C-39CF-43DA-9A35-7002161CA0EB}" xr6:coauthVersionLast="47" xr6:coauthVersionMax="47" xr10:uidLastSave="{9524D03B-9E86-416B-BC11-4A4063E14D8E}"/>
  <bookViews>
    <workbookView minimized="1" xWindow="6804" yWindow="4764" windowWidth="17280" windowHeight="9960" xr2:uid="{00000000-000D-0000-FFFF-FFFF00000000}"/>
  </bookViews>
  <sheets>
    <sheet name="pilot stud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0" i="1" l="1"/>
  <c r="H39" i="1"/>
</calcChain>
</file>

<file path=xl/sharedStrings.xml><?xml version="1.0" encoding="utf-8"?>
<sst xmlns="http://schemas.openxmlformats.org/spreadsheetml/2006/main" count="425" uniqueCount="129">
  <si>
    <t>Timestamp</t>
  </si>
  <si>
    <t>Name</t>
  </si>
  <si>
    <t>Age</t>
  </si>
  <si>
    <t>Gender</t>
  </si>
  <si>
    <t>Academic Year</t>
  </si>
  <si>
    <t>Principal Subject</t>
  </si>
  <si>
    <t>Sleep hours per night</t>
  </si>
  <si>
    <t>Health Conditions</t>
  </si>
  <si>
    <t xml:space="preserve"> [Black Coffee]</t>
  </si>
  <si>
    <t xml:space="preserve">Brands </t>
  </si>
  <si>
    <t xml:space="preserve">Reason for caffeine consumption </t>
  </si>
  <si>
    <t>Have you ever tried reducing caffeine content</t>
  </si>
  <si>
    <t>Cumulative Avg. CGPA</t>
  </si>
  <si>
    <t xml:space="preserve"> [Cold Coffee]</t>
  </si>
  <si>
    <t xml:space="preserve"> [Green Tea]</t>
  </si>
  <si>
    <t xml:space="preserve"> [Regular Coffee]</t>
  </si>
  <si>
    <t xml:space="preserve"> [Black Tea]</t>
  </si>
  <si>
    <t xml:space="preserve"> [Regular Tea]</t>
  </si>
  <si>
    <t>Brands</t>
  </si>
  <si>
    <t>Brands [Red Bull]</t>
  </si>
  <si>
    <t>Brands [Monster]</t>
  </si>
  <si>
    <t>Brands [Sting]</t>
  </si>
  <si>
    <t>Brands [Coca Cola]</t>
  </si>
  <si>
    <t>Brands [Mountain Dew]</t>
  </si>
  <si>
    <t xml:space="preserve"> [Milky Bar, Munch, Kitkat etc]</t>
  </si>
  <si>
    <t xml:space="preserve"> [Center fresh, boomer etc]</t>
  </si>
  <si>
    <t>Do you consume caffeine?</t>
  </si>
  <si>
    <t>Focus Interval</t>
  </si>
  <si>
    <t>At what age did you start consuming caffeine?</t>
  </si>
  <si>
    <t xml:space="preserve">Abhishek Shitole </t>
  </si>
  <si>
    <t>Male</t>
  </si>
  <si>
    <t>Bsc. TY</t>
  </si>
  <si>
    <t>Physics</t>
  </si>
  <si>
    <t>7-9</t>
  </si>
  <si>
    <t>Headaches</t>
  </si>
  <si>
    <t>Nescafe</t>
  </si>
  <si>
    <t>Staying awake</t>
  </si>
  <si>
    <t>Yes</t>
  </si>
  <si>
    <t>more than 4</t>
  </si>
  <si>
    <t>Rajwadi, Waghbakri, Dwarkesh, Tea Post</t>
  </si>
  <si>
    <t>No</t>
  </si>
  <si>
    <t xml:space="preserve">Aaditya Singh </t>
  </si>
  <si>
    <t>Environmental Studies</t>
  </si>
  <si>
    <t>5-7</t>
  </si>
  <si>
    <t>Insomnia</t>
  </si>
  <si>
    <t>Nescafe, Ajays</t>
  </si>
  <si>
    <t>Staying awake, Social reasons [peer pressure]</t>
  </si>
  <si>
    <t>occasionally[once a week]</t>
  </si>
  <si>
    <t>Om vyas</t>
  </si>
  <si>
    <t>Bsc. FY</t>
  </si>
  <si>
    <t>Computer Application</t>
  </si>
  <si>
    <t>3-5</t>
  </si>
  <si>
    <t>no effect</t>
  </si>
  <si>
    <t>french press, starbucks</t>
  </si>
  <si>
    <t>Staying awake, taste</t>
  </si>
  <si>
    <t>Zoology</t>
  </si>
  <si>
    <t>no</t>
  </si>
  <si>
    <t>Ansari mohammed adil</t>
  </si>
  <si>
    <t>Msc. Final</t>
  </si>
  <si>
    <t>Geography</t>
  </si>
  <si>
    <t>Nothing</t>
  </si>
  <si>
    <t>Sports [physical activity]</t>
  </si>
  <si>
    <t>Waghbakri, Red Label</t>
  </si>
  <si>
    <t>Farhan</t>
  </si>
  <si>
    <t>Msc. Previous</t>
  </si>
  <si>
    <t xml:space="preserve">Nothing </t>
  </si>
  <si>
    <t>Waghbakri</t>
  </si>
  <si>
    <t>Sanotra Gurudeep</t>
  </si>
  <si>
    <t xml:space="preserve">Nescafe, </t>
  </si>
  <si>
    <t>Improving focus</t>
  </si>
  <si>
    <t>Rajwadi, Waghbakri</t>
  </si>
  <si>
    <t xml:space="preserve">Mitali Makvana </t>
  </si>
  <si>
    <t>Female</t>
  </si>
  <si>
    <t>Ajays</t>
  </si>
  <si>
    <t>Social reasons [peer pressure]</t>
  </si>
  <si>
    <t>Krishna Kapadia</t>
  </si>
  <si>
    <t>Staying awake, Improving focus</t>
  </si>
  <si>
    <t>Hemangi</t>
  </si>
  <si>
    <t>Mathematics</t>
  </si>
  <si>
    <t>Shweta</t>
  </si>
  <si>
    <t>Saptadeepa Chakrabarti</t>
  </si>
  <si>
    <t>Anxiety [Tremors], Digestive issues, Headaches</t>
  </si>
  <si>
    <t>Nescafe, Bru</t>
  </si>
  <si>
    <t>Waghbakri, Lipton, Red Label, Nescafe</t>
  </si>
  <si>
    <t>Nischal Patel</t>
  </si>
  <si>
    <t>Anxiety [Tremors]</t>
  </si>
  <si>
    <t>Sanjana Sodha</t>
  </si>
  <si>
    <t>Happiness</t>
  </si>
  <si>
    <t>Rajwadi, Tea Post, Nescafe</t>
  </si>
  <si>
    <t>Pranita</t>
  </si>
  <si>
    <t>Headaches, Mild anxiety</t>
  </si>
  <si>
    <t>No particular reason</t>
  </si>
  <si>
    <t>9&gt;</t>
  </si>
  <si>
    <t>Harsh Nayaka</t>
  </si>
  <si>
    <t>Botany</t>
  </si>
  <si>
    <t xml:space="preserve">HIGH BP </t>
  </si>
  <si>
    <t>Patel zalak Rameshbhai</t>
  </si>
  <si>
    <t>Chemistry</t>
  </si>
  <si>
    <t xml:space="preserve">Jyoti parmar </t>
  </si>
  <si>
    <t>Anxiety [Tremors], Headaches</t>
  </si>
  <si>
    <t>Lency Panchal</t>
  </si>
  <si>
    <t xml:space="preserve">Mirza Taskin </t>
  </si>
  <si>
    <t>I just like it</t>
  </si>
  <si>
    <t>Nilesh dhankani</t>
  </si>
  <si>
    <t>Bsc. SY</t>
  </si>
  <si>
    <t xml:space="preserve">Jay rajput </t>
  </si>
  <si>
    <t xml:space="preserve">No </t>
  </si>
  <si>
    <t>Shardha rana</t>
  </si>
  <si>
    <t xml:space="preserve">Sonam kumari </t>
  </si>
  <si>
    <t>Jigna shah</t>
  </si>
  <si>
    <t>Siddharthsinh gohil</t>
  </si>
  <si>
    <t>Nirixa zala</t>
  </si>
  <si>
    <t>Nisarg</t>
  </si>
  <si>
    <t>Satyam joshi</t>
  </si>
  <si>
    <t>Amisha kulria</t>
  </si>
  <si>
    <t>Khushi Rohit</t>
  </si>
  <si>
    <t>Dhyey shah</t>
  </si>
  <si>
    <t>1-3</t>
  </si>
  <si>
    <t>Mohammad Farhan</t>
  </si>
  <si>
    <t>Tea Post</t>
  </si>
  <si>
    <t>Mahir ada</t>
  </si>
  <si>
    <t>Sakshi upadhyay</t>
  </si>
  <si>
    <t>Geology</t>
  </si>
  <si>
    <t>Anjani patel</t>
  </si>
  <si>
    <t>Dhruvanshi bhatiya</t>
  </si>
  <si>
    <t xml:space="preserve">Ekta shah </t>
  </si>
  <si>
    <t>Anxiety [Tremors], Digestive issues</t>
  </si>
  <si>
    <t>Lipton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</si>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</sst>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0" fillId="0" borderId="1" xfId="0" applyBorder="1"/>
    <xf numFmtId="164" fontId="1" fillId="0" borderId="1" xfId="0" applyNumberFormat="1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0" fillId="0" borderId="2" xfId="0" applyBorder="1"/>
    <xf numFmtId="0" fontId="0" fillId="3" borderId="1" xfId="0" applyFill="1" applyBorder="1"/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0" fillId="5" borderId="1" xfId="0" applyFill="1" applyBorder="1"/>
    <xf numFmtId="0" fontId="1" fillId="6" borderId="1" xfId="0" applyFont="1" applyFill="1" applyBorder="1" applyAlignment="1">
      <alignment vertical="center"/>
    </xf>
    <xf numFmtId="0" fontId="0" fillId="6" borderId="1" xfId="0" applyFill="1" applyBorder="1"/>
    <xf numFmtId="0" fontId="1" fillId="7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9" borderId="1" xfId="0" quotePrefix="1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0" fillId="0" borderId="3" xfId="0" applyBorder="1"/>
    <xf numFmtId="0" fontId="0" fillId="3" borderId="2" xfId="0" applyFill="1" applyBorder="1"/>
    <xf numFmtId="0" fontId="1" fillId="0" borderId="2" xfId="0" applyFont="1" applyBorder="1" applyAlignment="1">
      <alignment vertical="center"/>
    </xf>
    <xf numFmtId="0" fontId="1" fillId="10" borderId="2" xfId="0" applyFont="1" applyFill="1" applyBorder="1" applyAlignment="1">
      <alignment vertical="center"/>
    </xf>
    <xf numFmtId="0" fontId="2" fillId="10" borderId="1" xfId="0" applyFont="1" applyFill="1" applyBorder="1"/>
    <xf numFmtId="0" fontId="0" fillId="10" borderId="1" xfId="0" applyFill="1" applyBorder="1"/>
  </cellXfs>
  <cellStyles count="2">
    <cellStyle name="Normal" xfId="0" builtinId="0"/>
    <cellStyle name="Normal 2" xfId="1" xr:uid="{55F83455-42A6-403A-A243-24887C978B48}"/>
  </cellStyles>
  <dxfs count="63"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color theme="1"/>
        <family val="2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color theme="1"/>
        <family val="2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color theme="1"/>
        <family val="2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color theme="1"/>
        <family val="2"/>
      </font>
      <fill>
        <patternFill patternType="solid">
          <fgColor indexed="64"/>
          <bgColor theme="2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color theme="1"/>
        <family val="2"/>
      </font>
      <fill>
        <patternFill patternType="solid">
          <fgColor indexed="64"/>
          <bgColor theme="2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2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2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2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2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2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62"/>
      <tableStyleElement type="firstRowStripe" dxfId="61"/>
      <tableStyleElement type="secondRowStripe" dxfId="60"/>
    </tableStyle>
  </tableStyles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AC39" headerRowCount="0" totalsRowCount="1" headerRowDxfId="59" totalsRowDxfId="58">
  <tableColumns count="29">
    <tableColumn id="1" xr3:uid="{00000000-0010-0000-0000-000001000000}" name="Column1" dataDxfId="57" totalsRowDxfId="56"/>
    <tableColumn id="3" xr3:uid="{00000000-0010-0000-0000-000003000000}" name="Column3" dataDxfId="55" totalsRowDxfId="54"/>
    <tableColumn id="6" xr3:uid="{00000000-0010-0000-0000-000006000000}" name="Column6" dataDxfId="53" totalsRowDxfId="52"/>
    <tableColumn id="7" xr3:uid="{00000000-0010-0000-0000-000007000000}" name="Column7" dataDxfId="51" totalsRowDxfId="50"/>
    <tableColumn id="8" xr3:uid="{00000000-0010-0000-0000-000008000000}" name="Column8" dataDxfId="49" totalsRowDxfId="48"/>
    <tableColumn id="9" xr3:uid="{00000000-0010-0000-0000-000009000000}" name="Column9" dataDxfId="47" totalsRowDxfId="46"/>
    <tableColumn id="26" xr3:uid="{00000000-0010-0000-0000-00001A000000}" name="Column26" totalsRowLabel="yes" dataDxfId="45" totalsRowDxfId="44"/>
    <tableColumn id="45" xr3:uid="{00000000-0010-0000-0000-00002D000000}" name="Column45" totalsRowFunction="custom" dataDxfId="43" totalsRowDxfId="42">
      <totalsRowFormula>COUNTIF(Form_Responses1[Column45],"yes")</totalsRowFormula>
    </tableColumn>
    <tableColumn id="19" xr3:uid="{00000000-0010-0000-0000-000013000000}" name="Column19" dataDxfId="41" totalsRowDxfId="40"/>
    <tableColumn id="23" xr3:uid="{00000000-0010-0000-0000-000017000000}" name="Column23" dataDxfId="39" totalsRowDxfId="38"/>
    <tableColumn id="25" xr3:uid="{00000000-0010-0000-0000-000019000000}" name="Column25" dataDxfId="37" totalsRowDxfId="36"/>
    <tableColumn id="27" xr3:uid="{00000000-0010-0000-0000-00001B000000}" name="Column27" dataDxfId="35" totalsRowDxfId="34"/>
    <tableColumn id="29" xr3:uid="{00000000-0010-0000-0000-00001D000000}" name="Column29" dataDxfId="33" totalsRowDxfId="32"/>
    <tableColumn id="30" xr3:uid="{00000000-0010-0000-0000-00001E000000}" name="Column30" dataDxfId="31" totalsRowDxfId="30"/>
    <tableColumn id="31" xr3:uid="{00000000-0010-0000-0000-00001F000000}" name="Column31" dataDxfId="29" totalsRowDxfId="28"/>
    <tableColumn id="32" xr3:uid="{00000000-0010-0000-0000-000020000000}" name="Column32" dataDxfId="27" totalsRowDxfId="26"/>
    <tableColumn id="33" xr3:uid="{00000000-0010-0000-0000-000021000000}" name="Column33" dataDxfId="25" totalsRowDxfId="24"/>
    <tableColumn id="34" xr3:uid="{00000000-0010-0000-0000-000022000000}" name="Column34" dataDxfId="23" totalsRowDxfId="22"/>
    <tableColumn id="35" xr3:uid="{00000000-0010-0000-0000-000023000000}" name="Column35" dataDxfId="21" totalsRowDxfId="20"/>
    <tableColumn id="36" xr3:uid="{00000000-0010-0000-0000-000024000000}" name="Column36" dataDxfId="19" totalsRowDxfId="18"/>
    <tableColumn id="37" xr3:uid="{00000000-0010-0000-0000-000025000000}" name="Column37" dataDxfId="17" totalsRowDxfId="16"/>
    <tableColumn id="38" xr3:uid="{00000000-0010-0000-0000-000026000000}" name="Column38" dataDxfId="15" totalsRowDxfId="14"/>
    <tableColumn id="41" xr3:uid="{00000000-0010-0000-0000-000029000000}" name="Column41" dataDxfId="13" totalsRowDxfId="12"/>
    <tableColumn id="42" xr3:uid="{00000000-0010-0000-0000-00002A000000}" name="Column42" dataDxfId="11" totalsRowDxfId="10"/>
    <tableColumn id="14" xr3:uid="{00000000-0010-0000-0000-00000E000000}" name="Column14" dataDxfId="9" totalsRowDxfId="8"/>
    <tableColumn id="24" xr3:uid="{00000000-0010-0000-0000-000018000000}" name="Column24" dataDxfId="7" totalsRowDxfId="6"/>
    <tableColumn id="16" xr3:uid="{00000000-0010-0000-0000-000010000000}" name="Column16" dataDxfId="5" totalsRowDxfId="4"/>
    <tableColumn id="46" xr3:uid="{00000000-0010-0000-0000-00002E000000}" name="Column46" dataDxfId="3" totalsRowDxfId="2"/>
    <tableColumn id="47" xr3:uid="{00000000-0010-0000-0000-00002F000000}" name="Column47" dataDxfId="1" totalsRowDxfId="0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45"/>
  <sheetViews>
    <sheetView tabSelected="1" zoomScale="95" zoomScaleNormal="95" workbookViewId="0">
      <pane ySplit="1" topLeftCell="A2" activePane="bottomLeft" state="frozen"/>
      <selection pane="bottomLeft" activeCell="H21" sqref="H21"/>
    </sheetView>
  </sheetViews>
  <sheetFormatPr defaultColWidth="12.6640625" defaultRowHeight="15.75" customHeight="1" x14ac:dyDescent="0.25"/>
  <cols>
    <col min="1" max="1" width="16.21875" style="1" bestFit="1" customWidth="1"/>
    <col min="2" max="2" width="20.88671875" style="6" bestFit="1" customWidth="1"/>
    <col min="3" max="3" width="4.21875" style="6" bestFit="1" customWidth="1"/>
    <col min="4" max="4" width="7" style="6" bestFit="1" customWidth="1"/>
    <col min="5" max="5" width="13.6640625" style="6" bestFit="1" customWidth="1"/>
    <col min="6" max="6" width="19.109375" style="6" bestFit="1" customWidth="1"/>
    <col min="7" max="7" width="19.77734375" style="6" bestFit="1" customWidth="1"/>
    <col min="8" max="8" width="23.21875" style="1" bestFit="1" customWidth="1"/>
    <col min="9" max="9" width="13.21875" style="1" bestFit="1" customWidth="1"/>
    <col min="10" max="10" width="20.33203125" style="1" bestFit="1" customWidth="1"/>
    <col min="11" max="11" width="38.6640625" style="1" bestFit="1" customWidth="1"/>
    <col min="12" max="12" width="12.33203125" style="1" bestFit="1" customWidth="1"/>
    <col min="13" max="13" width="15" style="1" bestFit="1" customWidth="1"/>
    <col min="14" max="14" width="11.21875" style="1" bestFit="1" customWidth="1"/>
    <col min="15" max="15" width="10.6640625" style="1" bestFit="1" customWidth="1"/>
    <col min="16" max="16" width="12.44140625" style="1" bestFit="1" customWidth="1"/>
    <col min="17" max="17" width="35.21875" style="1" bestFit="1" customWidth="1"/>
    <col min="18" max="18" width="22.6640625" style="1" bestFit="1" customWidth="1"/>
    <col min="19" max="19" width="15" style="1" bestFit="1" customWidth="1"/>
    <col min="20" max="20" width="12.5546875" style="1" bestFit="1" customWidth="1"/>
    <col min="21" max="21" width="17.21875" style="1" bestFit="1" customWidth="1"/>
    <col min="22" max="22" width="20.109375" style="1" bestFit="1" customWidth="1"/>
    <col min="23" max="23" width="25.77734375" style="1" bestFit="1" customWidth="1"/>
    <col min="24" max="24" width="23.33203125" style="1" bestFit="1" customWidth="1"/>
    <col min="25" max="25" width="18.5546875" bestFit="1" customWidth="1"/>
    <col min="26" max="27" width="39.6640625" style="1" bestFit="1" customWidth="1"/>
    <col min="28" max="28" width="40.33203125" style="1" bestFit="1" customWidth="1"/>
    <col min="29" max="30" width="39.21875" style="1" bestFit="1" customWidth="1"/>
    <col min="31" max="36" width="18.88671875" style="1" customWidth="1"/>
    <col min="37" max="16384" width="12.6640625" style="1"/>
  </cols>
  <sheetData>
    <row r="1" spans="1:29" s="4" customFormat="1" ht="13.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12</v>
      </c>
      <c r="H1" s="3" t="s">
        <v>26</v>
      </c>
      <c r="I1" s="3" t="s">
        <v>8</v>
      </c>
      <c r="J1" s="3" t="s">
        <v>9</v>
      </c>
      <c r="K1" s="3" t="s">
        <v>11</v>
      </c>
      <c r="L1" s="3" t="s">
        <v>13</v>
      </c>
      <c r="M1" s="3" t="s">
        <v>15</v>
      </c>
      <c r="N1" s="3" t="s">
        <v>14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6</v>
      </c>
      <c r="Z1" s="3" t="s">
        <v>10</v>
      </c>
      <c r="AA1" s="3" t="s">
        <v>7</v>
      </c>
      <c r="AB1" s="3" t="s">
        <v>27</v>
      </c>
      <c r="AC1" s="3" t="s">
        <v>28</v>
      </c>
    </row>
    <row r="2" spans="1:29" ht="13.2" x14ac:dyDescent="0.25">
      <c r="A2" s="2">
        <v>45665.459147002315</v>
      </c>
      <c r="B2" s="7" t="s">
        <v>29</v>
      </c>
      <c r="C2" s="7">
        <v>20</v>
      </c>
      <c r="D2" s="7" t="s">
        <v>30</v>
      </c>
      <c r="E2" s="7" t="s">
        <v>31</v>
      </c>
      <c r="F2" s="7" t="s">
        <v>32</v>
      </c>
      <c r="G2" s="7">
        <v>6</v>
      </c>
      <c r="H2" s="7" t="s">
        <v>40</v>
      </c>
      <c r="I2" s="8">
        <v>0</v>
      </c>
      <c r="J2" s="8" t="s">
        <v>35</v>
      </c>
      <c r="K2" s="8" t="s">
        <v>37</v>
      </c>
      <c r="L2" s="8">
        <v>0</v>
      </c>
      <c r="M2" s="8">
        <v>0</v>
      </c>
      <c r="N2" s="10">
        <v>0</v>
      </c>
      <c r="O2" s="10">
        <v>0</v>
      </c>
      <c r="P2" s="10" t="s">
        <v>38</v>
      </c>
      <c r="Q2" s="10" t="s">
        <v>39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3">
        <v>3</v>
      </c>
      <c r="X2" s="13" t="s">
        <v>38</v>
      </c>
      <c r="Y2" s="14" t="s">
        <v>33</v>
      </c>
      <c r="Z2" s="15" t="s">
        <v>36</v>
      </c>
      <c r="AA2" s="15" t="s">
        <v>34</v>
      </c>
      <c r="AB2" s="15">
        <v>3</v>
      </c>
      <c r="AC2" s="15">
        <v>19</v>
      </c>
    </row>
    <row r="3" spans="1:29" ht="13.2" x14ac:dyDescent="0.25">
      <c r="A3" s="2">
        <v>45665.473125821758</v>
      </c>
      <c r="B3" s="7" t="s">
        <v>41</v>
      </c>
      <c r="C3" s="7">
        <v>22</v>
      </c>
      <c r="D3" s="7" t="s">
        <v>30</v>
      </c>
      <c r="E3" s="7" t="s">
        <v>31</v>
      </c>
      <c r="F3" s="7" t="s">
        <v>42</v>
      </c>
      <c r="G3" s="7">
        <v>7</v>
      </c>
      <c r="H3" s="7" t="s">
        <v>37</v>
      </c>
      <c r="I3" s="8">
        <v>0</v>
      </c>
      <c r="J3" s="8" t="s">
        <v>45</v>
      </c>
      <c r="K3" s="8" t="s">
        <v>40</v>
      </c>
      <c r="L3" s="8">
        <v>1</v>
      </c>
      <c r="M3" s="8">
        <v>2</v>
      </c>
      <c r="N3" s="10">
        <v>0</v>
      </c>
      <c r="O3" s="10">
        <v>0</v>
      </c>
      <c r="P3" s="10">
        <v>0</v>
      </c>
      <c r="Q3" s="11"/>
      <c r="R3" s="12" t="s">
        <v>47</v>
      </c>
      <c r="S3" s="12">
        <v>0</v>
      </c>
      <c r="T3" s="12">
        <v>0</v>
      </c>
      <c r="U3" s="12">
        <v>0</v>
      </c>
      <c r="V3" s="12">
        <v>0</v>
      </c>
      <c r="W3" s="13">
        <v>2</v>
      </c>
      <c r="X3" s="13">
        <v>0</v>
      </c>
      <c r="Y3" s="14" t="s">
        <v>43</v>
      </c>
      <c r="Z3" s="15" t="s">
        <v>46</v>
      </c>
      <c r="AA3" s="15" t="s">
        <v>44</v>
      </c>
      <c r="AB3" s="15">
        <v>3</v>
      </c>
      <c r="AC3" s="15">
        <v>15</v>
      </c>
    </row>
    <row r="4" spans="1:29" ht="13.2" x14ac:dyDescent="0.25">
      <c r="A4" s="2">
        <v>45665.480006006939</v>
      </c>
      <c r="B4" s="7" t="s">
        <v>48</v>
      </c>
      <c r="C4" s="7">
        <v>20</v>
      </c>
      <c r="D4" s="7" t="s">
        <v>30</v>
      </c>
      <c r="E4" s="7" t="s">
        <v>49</v>
      </c>
      <c r="F4" s="7" t="s">
        <v>50</v>
      </c>
      <c r="G4" s="7">
        <v>7</v>
      </c>
      <c r="H4" s="7" t="s">
        <v>37</v>
      </c>
      <c r="I4" s="8">
        <v>2</v>
      </c>
      <c r="J4" s="8" t="s">
        <v>53</v>
      </c>
      <c r="K4" s="8" t="s">
        <v>40</v>
      </c>
      <c r="L4" s="8">
        <v>0</v>
      </c>
      <c r="M4" s="8">
        <v>0</v>
      </c>
      <c r="N4" s="10">
        <v>0</v>
      </c>
      <c r="O4" s="10">
        <v>0</v>
      </c>
      <c r="P4" s="10">
        <v>0</v>
      </c>
      <c r="Q4" s="11"/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3">
        <v>1</v>
      </c>
      <c r="X4" s="13">
        <v>0</v>
      </c>
      <c r="Y4" s="14" t="s">
        <v>51</v>
      </c>
      <c r="Z4" s="15" t="s">
        <v>54</v>
      </c>
      <c r="AA4" s="15" t="s">
        <v>52</v>
      </c>
      <c r="AB4" s="15">
        <v>3</v>
      </c>
      <c r="AC4" s="15">
        <v>18</v>
      </c>
    </row>
    <row r="5" spans="1:29" ht="13.2" x14ac:dyDescent="0.25">
      <c r="A5" s="2">
        <v>45666.50021445602</v>
      </c>
      <c r="B5" s="7" t="s">
        <v>57</v>
      </c>
      <c r="C5" s="7">
        <v>23</v>
      </c>
      <c r="D5" s="7" t="s">
        <v>30</v>
      </c>
      <c r="E5" s="7" t="s">
        <v>58</v>
      </c>
      <c r="F5" s="7" t="s">
        <v>59</v>
      </c>
      <c r="G5" s="7">
        <v>6</v>
      </c>
      <c r="H5" s="7" t="s">
        <v>37</v>
      </c>
      <c r="I5" s="8">
        <v>0</v>
      </c>
      <c r="J5" s="8" t="s">
        <v>60</v>
      </c>
      <c r="K5" s="8" t="s">
        <v>40</v>
      </c>
      <c r="L5" s="8">
        <v>0</v>
      </c>
      <c r="M5" s="8">
        <v>0</v>
      </c>
      <c r="N5" s="10">
        <v>0</v>
      </c>
      <c r="O5" s="10">
        <v>1</v>
      </c>
      <c r="P5" s="10">
        <v>2</v>
      </c>
      <c r="Q5" s="10" t="s">
        <v>62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3">
        <v>2</v>
      </c>
      <c r="X5" s="13">
        <v>1</v>
      </c>
      <c r="Y5" s="14" t="s">
        <v>43</v>
      </c>
      <c r="Z5" s="15" t="s">
        <v>61</v>
      </c>
      <c r="AA5" s="15" t="s">
        <v>60</v>
      </c>
      <c r="AB5" s="15">
        <v>3</v>
      </c>
      <c r="AC5" s="15">
        <v>17</v>
      </c>
    </row>
    <row r="6" spans="1:29" ht="13.2" x14ac:dyDescent="0.25">
      <c r="A6" s="2">
        <v>45666.501920543982</v>
      </c>
      <c r="B6" s="7" t="s">
        <v>63</v>
      </c>
      <c r="C6" s="7">
        <v>20</v>
      </c>
      <c r="D6" s="7" t="s">
        <v>30</v>
      </c>
      <c r="E6" s="7" t="s">
        <v>64</v>
      </c>
      <c r="F6" s="7" t="s">
        <v>59</v>
      </c>
      <c r="G6" s="7">
        <v>6</v>
      </c>
      <c r="H6" s="7" t="s">
        <v>37</v>
      </c>
      <c r="I6" s="8">
        <v>2</v>
      </c>
      <c r="J6" s="8" t="s">
        <v>35</v>
      </c>
      <c r="K6" s="8" t="s">
        <v>40</v>
      </c>
      <c r="L6" s="8">
        <v>0</v>
      </c>
      <c r="M6" s="8">
        <v>0</v>
      </c>
      <c r="N6" s="10">
        <v>0</v>
      </c>
      <c r="O6" s="10">
        <v>0</v>
      </c>
      <c r="P6" s="10">
        <v>4</v>
      </c>
      <c r="Q6" s="10" t="s">
        <v>66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3">
        <v>0</v>
      </c>
      <c r="X6" s="13">
        <v>0</v>
      </c>
      <c r="Y6" s="14" t="s">
        <v>43</v>
      </c>
      <c r="Z6" s="15" t="s">
        <v>61</v>
      </c>
      <c r="AA6" s="15" t="s">
        <v>65</v>
      </c>
      <c r="AB6" s="15">
        <v>3</v>
      </c>
      <c r="AC6" s="15">
        <v>19</v>
      </c>
    </row>
    <row r="7" spans="1:29" ht="13.2" x14ac:dyDescent="0.25">
      <c r="A7" s="2">
        <v>45666.503972696759</v>
      </c>
      <c r="B7" s="7" t="s">
        <v>67</v>
      </c>
      <c r="C7" s="7">
        <v>21</v>
      </c>
      <c r="D7" s="7" t="s">
        <v>30</v>
      </c>
      <c r="E7" s="7" t="s">
        <v>64</v>
      </c>
      <c r="F7" s="7" t="s">
        <v>59</v>
      </c>
      <c r="G7" s="7">
        <v>7</v>
      </c>
      <c r="H7" s="7" t="s">
        <v>37</v>
      </c>
      <c r="I7" s="8">
        <v>0</v>
      </c>
      <c r="J7" s="8" t="s">
        <v>68</v>
      </c>
      <c r="K7" s="8" t="s">
        <v>40</v>
      </c>
      <c r="L7" s="8">
        <v>0</v>
      </c>
      <c r="M7" s="8">
        <v>1</v>
      </c>
      <c r="N7" s="10">
        <v>0</v>
      </c>
      <c r="O7" s="10">
        <v>0</v>
      </c>
      <c r="P7" s="10">
        <v>2</v>
      </c>
      <c r="Q7" s="10" t="s">
        <v>70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3">
        <v>1</v>
      </c>
      <c r="X7" s="13">
        <v>0</v>
      </c>
      <c r="Y7" s="14" t="s">
        <v>43</v>
      </c>
      <c r="Z7" s="15" t="s">
        <v>69</v>
      </c>
      <c r="AA7" s="15" t="s">
        <v>60</v>
      </c>
      <c r="AB7" s="15">
        <v>3</v>
      </c>
      <c r="AC7" s="15">
        <v>16</v>
      </c>
    </row>
    <row r="8" spans="1:29" ht="13.2" x14ac:dyDescent="0.25">
      <c r="A8" s="2">
        <v>45666.507544791668</v>
      </c>
      <c r="B8" s="7" t="s">
        <v>71</v>
      </c>
      <c r="C8" s="7">
        <v>20</v>
      </c>
      <c r="D8" s="7" t="s">
        <v>72</v>
      </c>
      <c r="E8" s="7" t="s">
        <v>31</v>
      </c>
      <c r="F8" s="7" t="s">
        <v>59</v>
      </c>
      <c r="G8" s="7">
        <v>6</v>
      </c>
      <c r="H8" s="7" t="s">
        <v>37</v>
      </c>
      <c r="I8" s="8">
        <v>0</v>
      </c>
      <c r="J8" s="8" t="s">
        <v>73</v>
      </c>
      <c r="K8" s="8" t="s">
        <v>37</v>
      </c>
      <c r="L8" s="8">
        <v>1</v>
      </c>
      <c r="M8" s="8">
        <v>0</v>
      </c>
      <c r="N8" s="10">
        <v>0</v>
      </c>
      <c r="O8" s="10">
        <v>0</v>
      </c>
      <c r="P8" s="10">
        <v>1</v>
      </c>
      <c r="Q8" s="10" t="s">
        <v>70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3">
        <v>2</v>
      </c>
      <c r="X8" s="13">
        <v>0</v>
      </c>
      <c r="Y8" s="14" t="s">
        <v>43</v>
      </c>
      <c r="Z8" s="15" t="s">
        <v>74</v>
      </c>
      <c r="AA8" s="15" t="s">
        <v>65</v>
      </c>
      <c r="AB8" s="15">
        <v>1</v>
      </c>
      <c r="AC8" s="15">
        <v>13</v>
      </c>
    </row>
    <row r="9" spans="1:29" ht="13.2" x14ac:dyDescent="0.25">
      <c r="A9" s="2">
        <v>45666.513516874998</v>
      </c>
      <c r="B9" s="7" t="s">
        <v>75</v>
      </c>
      <c r="C9" s="7">
        <v>20</v>
      </c>
      <c r="D9" s="7" t="s">
        <v>30</v>
      </c>
      <c r="E9" s="7" t="s">
        <v>31</v>
      </c>
      <c r="F9" s="7" t="s">
        <v>32</v>
      </c>
      <c r="G9" s="7">
        <v>6</v>
      </c>
      <c r="H9" s="7" t="s">
        <v>37</v>
      </c>
      <c r="I9" s="8">
        <v>2</v>
      </c>
      <c r="J9" s="8" t="s">
        <v>35</v>
      </c>
      <c r="K9" s="8" t="s">
        <v>37</v>
      </c>
      <c r="L9" s="8">
        <v>0</v>
      </c>
      <c r="M9" s="8">
        <v>0</v>
      </c>
      <c r="N9" s="10">
        <v>0</v>
      </c>
      <c r="O9" s="10">
        <v>0</v>
      </c>
      <c r="P9" s="10">
        <v>1</v>
      </c>
      <c r="Q9" s="10" t="s">
        <v>66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3">
        <v>0</v>
      </c>
      <c r="X9" s="13">
        <v>0</v>
      </c>
      <c r="Y9" s="14" t="s">
        <v>33</v>
      </c>
      <c r="Z9" s="15" t="s">
        <v>76</v>
      </c>
      <c r="AA9" s="15" t="s">
        <v>60</v>
      </c>
      <c r="AB9" s="15">
        <v>2</v>
      </c>
      <c r="AC9" s="15">
        <v>16</v>
      </c>
    </row>
    <row r="10" spans="1:29" ht="13.2" x14ac:dyDescent="0.25">
      <c r="A10" s="2">
        <v>45666.517549085649</v>
      </c>
      <c r="B10" s="7" t="s">
        <v>77</v>
      </c>
      <c r="C10" s="7">
        <v>20</v>
      </c>
      <c r="D10" s="7" t="s">
        <v>72</v>
      </c>
      <c r="E10" s="7" t="s">
        <v>31</v>
      </c>
      <c r="F10" s="7" t="s">
        <v>78</v>
      </c>
      <c r="G10" s="7">
        <v>7</v>
      </c>
      <c r="H10" s="7" t="s">
        <v>37</v>
      </c>
      <c r="I10" s="8">
        <v>0</v>
      </c>
      <c r="J10" s="8" t="s">
        <v>60</v>
      </c>
      <c r="K10" s="8" t="s">
        <v>37</v>
      </c>
      <c r="L10" s="8">
        <v>0</v>
      </c>
      <c r="M10" s="8">
        <v>0</v>
      </c>
      <c r="N10" s="10">
        <v>0</v>
      </c>
      <c r="O10" s="10">
        <v>0</v>
      </c>
      <c r="P10" s="10">
        <v>1</v>
      </c>
      <c r="Q10" s="10" t="s">
        <v>66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3">
        <v>1</v>
      </c>
      <c r="X10" s="13">
        <v>0</v>
      </c>
      <c r="Y10" s="14" t="s">
        <v>33</v>
      </c>
      <c r="Z10" s="15" t="s">
        <v>74</v>
      </c>
      <c r="AA10" s="15" t="s">
        <v>60</v>
      </c>
      <c r="AB10" s="15">
        <v>1</v>
      </c>
      <c r="AC10" s="15">
        <v>7</v>
      </c>
    </row>
    <row r="11" spans="1:29" ht="13.2" x14ac:dyDescent="0.25">
      <c r="A11" s="2">
        <v>45666.519833611106</v>
      </c>
      <c r="B11" s="7" t="s">
        <v>79</v>
      </c>
      <c r="C11" s="7">
        <v>20</v>
      </c>
      <c r="D11" s="7" t="s">
        <v>72</v>
      </c>
      <c r="E11" s="7" t="s">
        <v>31</v>
      </c>
      <c r="F11" s="7" t="s">
        <v>78</v>
      </c>
      <c r="G11" s="7">
        <v>5</v>
      </c>
      <c r="H11" s="7" t="s">
        <v>40</v>
      </c>
      <c r="I11" s="8">
        <v>0</v>
      </c>
      <c r="J11" s="8" t="s">
        <v>40</v>
      </c>
      <c r="K11" s="8" t="s">
        <v>37</v>
      </c>
      <c r="L11" s="8">
        <v>0</v>
      </c>
      <c r="M11" s="8">
        <v>0</v>
      </c>
      <c r="N11" s="10">
        <v>0</v>
      </c>
      <c r="O11" s="10">
        <v>0</v>
      </c>
      <c r="P11" s="10">
        <v>1</v>
      </c>
      <c r="Q11" s="10" t="s">
        <v>66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3">
        <v>1</v>
      </c>
      <c r="X11" s="13">
        <v>0</v>
      </c>
      <c r="Y11" s="14" t="s">
        <v>33</v>
      </c>
      <c r="Z11" s="15" t="s">
        <v>65</v>
      </c>
      <c r="AA11" s="15" t="s">
        <v>34</v>
      </c>
      <c r="AB11" s="15">
        <v>1</v>
      </c>
      <c r="AC11" s="15">
        <v>19</v>
      </c>
    </row>
    <row r="12" spans="1:29" ht="13.2" x14ac:dyDescent="0.25">
      <c r="A12" s="2">
        <v>45666.521662164349</v>
      </c>
      <c r="B12" s="7" t="s">
        <v>80</v>
      </c>
      <c r="C12" s="7">
        <v>20</v>
      </c>
      <c r="D12" s="7" t="s">
        <v>72</v>
      </c>
      <c r="E12" s="7" t="s">
        <v>31</v>
      </c>
      <c r="F12" s="7" t="s">
        <v>32</v>
      </c>
      <c r="G12" s="7">
        <v>8</v>
      </c>
      <c r="H12" s="7" t="s">
        <v>37</v>
      </c>
      <c r="I12" s="8">
        <v>1</v>
      </c>
      <c r="J12" s="8" t="s">
        <v>82</v>
      </c>
      <c r="K12" s="8" t="s">
        <v>40</v>
      </c>
      <c r="L12" s="8">
        <v>0</v>
      </c>
      <c r="M12" s="8">
        <v>1</v>
      </c>
      <c r="N12" s="10">
        <v>1</v>
      </c>
      <c r="O12" s="10">
        <v>0</v>
      </c>
      <c r="P12" s="10">
        <v>2</v>
      </c>
      <c r="Q12" s="10" t="s">
        <v>83</v>
      </c>
      <c r="R12" s="12">
        <v>0</v>
      </c>
      <c r="S12" s="12">
        <v>1</v>
      </c>
      <c r="T12" s="12">
        <v>0</v>
      </c>
      <c r="U12" s="12">
        <v>1</v>
      </c>
      <c r="V12" s="12">
        <v>1</v>
      </c>
      <c r="W12" s="13">
        <v>1</v>
      </c>
      <c r="X12" s="13">
        <v>1</v>
      </c>
      <c r="Y12" s="14" t="s">
        <v>33</v>
      </c>
      <c r="Z12" s="15" t="s">
        <v>36</v>
      </c>
      <c r="AA12" s="15" t="s">
        <v>81</v>
      </c>
      <c r="AB12" s="15">
        <v>3</v>
      </c>
      <c r="AC12" s="15">
        <v>16</v>
      </c>
    </row>
    <row r="13" spans="1:29" ht="13.2" x14ac:dyDescent="0.25">
      <c r="A13" s="2">
        <v>45666.52571425926</v>
      </c>
      <c r="B13" s="7" t="s">
        <v>84</v>
      </c>
      <c r="C13" s="7">
        <v>21</v>
      </c>
      <c r="D13" s="7" t="s">
        <v>30</v>
      </c>
      <c r="E13" s="7" t="s">
        <v>64</v>
      </c>
      <c r="F13" s="7" t="s">
        <v>32</v>
      </c>
      <c r="G13" s="7">
        <v>6</v>
      </c>
      <c r="H13" s="7" t="s">
        <v>37</v>
      </c>
      <c r="I13" s="8">
        <v>0</v>
      </c>
      <c r="J13" s="8" t="s">
        <v>60</v>
      </c>
      <c r="K13" s="8" t="s">
        <v>37</v>
      </c>
      <c r="L13" s="8">
        <v>0</v>
      </c>
      <c r="M13" s="8">
        <v>0</v>
      </c>
      <c r="N13" s="10">
        <v>0</v>
      </c>
      <c r="O13" s="10">
        <v>0</v>
      </c>
      <c r="P13" s="10" t="s">
        <v>38</v>
      </c>
      <c r="Q13" s="10" t="s">
        <v>66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3">
        <v>1</v>
      </c>
      <c r="X13" s="13">
        <v>0</v>
      </c>
      <c r="Y13" s="14" t="s">
        <v>51</v>
      </c>
      <c r="Z13" s="15" t="s">
        <v>76</v>
      </c>
      <c r="AA13" s="15" t="s">
        <v>85</v>
      </c>
      <c r="AB13" s="15">
        <v>3</v>
      </c>
      <c r="AC13" s="15">
        <v>11</v>
      </c>
    </row>
    <row r="14" spans="1:29" ht="13.2" x14ac:dyDescent="0.25">
      <c r="A14" s="2">
        <v>45666.528144328702</v>
      </c>
      <c r="B14" s="7" t="s">
        <v>86</v>
      </c>
      <c r="C14" s="7">
        <v>21</v>
      </c>
      <c r="D14" s="7" t="s">
        <v>72</v>
      </c>
      <c r="E14" s="7" t="s">
        <v>31</v>
      </c>
      <c r="F14" s="7" t="s">
        <v>32</v>
      </c>
      <c r="G14" s="7">
        <v>8</v>
      </c>
      <c r="H14" s="7" t="s">
        <v>37</v>
      </c>
      <c r="I14" s="8">
        <v>0</v>
      </c>
      <c r="J14" s="8" t="s">
        <v>45</v>
      </c>
      <c r="K14" s="8" t="s">
        <v>37</v>
      </c>
      <c r="L14" s="8">
        <v>2</v>
      </c>
      <c r="M14" s="8">
        <v>1</v>
      </c>
      <c r="N14" s="10">
        <v>0</v>
      </c>
      <c r="O14" s="10">
        <v>0</v>
      </c>
      <c r="P14" s="10">
        <v>2</v>
      </c>
      <c r="Q14" s="10" t="s">
        <v>88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3">
        <v>2</v>
      </c>
      <c r="X14" s="13">
        <v>1</v>
      </c>
      <c r="Y14" s="14" t="s">
        <v>33</v>
      </c>
      <c r="Z14" s="15" t="s">
        <v>87</v>
      </c>
      <c r="AA14" s="15" t="s">
        <v>40</v>
      </c>
      <c r="AB14" s="15">
        <v>4</v>
      </c>
      <c r="AC14" s="15">
        <v>10</v>
      </c>
    </row>
    <row r="15" spans="1:29" ht="13.2" x14ac:dyDescent="0.25">
      <c r="A15" s="2">
        <v>45666.534733993059</v>
      </c>
      <c r="B15" s="7" t="s">
        <v>89</v>
      </c>
      <c r="C15" s="7">
        <v>20</v>
      </c>
      <c r="D15" s="7" t="s">
        <v>72</v>
      </c>
      <c r="E15" s="7" t="s">
        <v>31</v>
      </c>
      <c r="F15" s="7" t="s">
        <v>32</v>
      </c>
      <c r="G15" s="7" t="s">
        <v>92</v>
      </c>
      <c r="H15" s="7" t="s">
        <v>37</v>
      </c>
      <c r="I15" s="8">
        <v>0</v>
      </c>
      <c r="J15" s="8" t="s">
        <v>60</v>
      </c>
      <c r="K15" s="8" t="s">
        <v>40</v>
      </c>
      <c r="L15" s="8">
        <v>0</v>
      </c>
      <c r="M15" s="8">
        <v>0</v>
      </c>
      <c r="N15" s="10">
        <v>0</v>
      </c>
      <c r="O15" s="10">
        <v>0</v>
      </c>
      <c r="P15" s="10">
        <v>3</v>
      </c>
      <c r="Q15" s="10" t="s">
        <v>62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3">
        <v>0</v>
      </c>
      <c r="X15" s="13">
        <v>0</v>
      </c>
      <c r="Y15" s="14" t="s">
        <v>33</v>
      </c>
      <c r="Z15" s="15" t="s">
        <v>91</v>
      </c>
      <c r="AA15" s="15" t="s">
        <v>90</v>
      </c>
      <c r="AB15" s="15">
        <v>1</v>
      </c>
      <c r="AC15" s="15">
        <v>15</v>
      </c>
    </row>
    <row r="16" spans="1:29" ht="13.2" x14ac:dyDescent="0.25">
      <c r="A16" s="2">
        <v>45666.541272476854</v>
      </c>
      <c r="B16" s="7" t="s">
        <v>93</v>
      </c>
      <c r="C16" s="7">
        <v>20</v>
      </c>
      <c r="D16" s="7" t="s">
        <v>30</v>
      </c>
      <c r="E16" s="7" t="s">
        <v>31</v>
      </c>
      <c r="F16" s="7" t="s">
        <v>94</v>
      </c>
      <c r="G16" s="7">
        <v>6</v>
      </c>
      <c r="H16" s="7" t="s">
        <v>37</v>
      </c>
      <c r="I16" s="8">
        <v>1</v>
      </c>
      <c r="J16" s="8" t="s">
        <v>82</v>
      </c>
      <c r="K16" s="8" t="s">
        <v>40</v>
      </c>
      <c r="L16" s="8">
        <v>0</v>
      </c>
      <c r="M16" s="8">
        <v>1</v>
      </c>
      <c r="N16" s="10">
        <v>0</v>
      </c>
      <c r="O16" s="10">
        <v>0</v>
      </c>
      <c r="P16" s="10">
        <v>1</v>
      </c>
      <c r="Q16" s="10" t="s">
        <v>66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3">
        <v>1</v>
      </c>
      <c r="X16" s="13">
        <v>0</v>
      </c>
      <c r="Y16" s="14" t="s">
        <v>43</v>
      </c>
      <c r="Z16" s="15" t="s">
        <v>76</v>
      </c>
      <c r="AA16" s="15" t="s">
        <v>95</v>
      </c>
      <c r="AB16" s="15">
        <v>3</v>
      </c>
      <c r="AC16" s="15">
        <v>18</v>
      </c>
    </row>
    <row r="17" spans="1:29" ht="13.2" x14ac:dyDescent="0.25">
      <c r="A17" s="2">
        <v>45666.54691449074</v>
      </c>
      <c r="B17" s="7" t="s">
        <v>96</v>
      </c>
      <c r="C17" s="7">
        <v>19</v>
      </c>
      <c r="D17" s="7" t="s">
        <v>72</v>
      </c>
      <c r="E17" s="7" t="s">
        <v>31</v>
      </c>
      <c r="F17" s="7" t="s">
        <v>97</v>
      </c>
      <c r="G17" s="7">
        <v>6</v>
      </c>
      <c r="H17" s="7" t="s">
        <v>37</v>
      </c>
      <c r="I17" s="8">
        <v>0</v>
      </c>
      <c r="J17" s="8" t="s">
        <v>45</v>
      </c>
      <c r="K17" s="8" t="s">
        <v>40</v>
      </c>
      <c r="L17" s="8">
        <v>1</v>
      </c>
      <c r="M17" s="8">
        <v>1</v>
      </c>
      <c r="N17" s="10">
        <v>0</v>
      </c>
      <c r="O17" s="10">
        <v>0</v>
      </c>
      <c r="P17" s="10">
        <v>1</v>
      </c>
      <c r="Q17" s="10" t="s">
        <v>39</v>
      </c>
      <c r="R17" s="12">
        <v>0</v>
      </c>
      <c r="S17" s="12">
        <v>0</v>
      </c>
      <c r="T17" s="12">
        <v>0</v>
      </c>
      <c r="U17" s="12">
        <v>2</v>
      </c>
      <c r="V17" s="12">
        <v>0</v>
      </c>
      <c r="W17" s="13">
        <v>1</v>
      </c>
      <c r="X17" s="13">
        <v>1</v>
      </c>
      <c r="Y17" s="14" t="s">
        <v>43</v>
      </c>
      <c r="Z17" s="15" t="s">
        <v>36</v>
      </c>
      <c r="AA17" s="15" t="s">
        <v>60</v>
      </c>
      <c r="AB17" s="15">
        <v>2</v>
      </c>
      <c r="AC17" s="15">
        <v>7</v>
      </c>
    </row>
    <row r="18" spans="1:29" ht="13.2" x14ac:dyDescent="0.25">
      <c r="A18" s="2">
        <v>45666.548297766203</v>
      </c>
      <c r="B18" s="7" t="s">
        <v>98</v>
      </c>
      <c r="C18" s="7">
        <v>23</v>
      </c>
      <c r="D18" s="7" t="s">
        <v>72</v>
      </c>
      <c r="E18" s="7" t="s">
        <v>31</v>
      </c>
      <c r="F18" s="7" t="s">
        <v>94</v>
      </c>
      <c r="G18" s="7">
        <v>6</v>
      </c>
      <c r="H18" s="7" t="s">
        <v>37</v>
      </c>
      <c r="I18" s="8">
        <v>0</v>
      </c>
      <c r="J18" s="9"/>
      <c r="K18" s="8" t="s">
        <v>40</v>
      </c>
      <c r="L18" s="8">
        <v>0</v>
      </c>
      <c r="M18" s="8">
        <v>0</v>
      </c>
      <c r="N18" s="10">
        <v>0</v>
      </c>
      <c r="O18" s="10">
        <v>1</v>
      </c>
      <c r="P18" s="10">
        <v>0</v>
      </c>
      <c r="Q18" s="10" t="s">
        <v>66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3">
        <v>0</v>
      </c>
      <c r="X18" s="13">
        <v>0</v>
      </c>
      <c r="Y18" s="14" t="s">
        <v>43</v>
      </c>
      <c r="Z18" s="15" t="s">
        <v>74</v>
      </c>
      <c r="AA18" s="15" t="s">
        <v>99</v>
      </c>
      <c r="AB18" s="15">
        <v>4</v>
      </c>
      <c r="AC18" s="15">
        <v>10</v>
      </c>
    </row>
    <row r="19" spans="1:29" ht="13.2" x14ac:dyDescent="0.25">
      <c r="A19" s="2">
        <v>45666.549875520832</v>
      </c>
      <c r="B19" s="7" t="s">
        <v>100</v>
      </c>
      <c r="C19" s="7">
        <v>21</v>
      </c>
      <c r="D19" s="7" t="s">
        <v>72</v>
      </c>
      <c r="E19" s="7" t="s">
        <v>31</v>
      </c>
      <c r="F19" s="7" t="s">
        <v>94</v>
      </c>
      <c r="G19" s="7">
        <v>6</v>
      </c>
      <c r="H19" s="7" t="s">
        <v>37</v>
      </c>
      <c r="I19" s="8">
        <v>0</v>
      </c>
      <c r="J19" s="8" t="s">
        <v>35</v>
      </c>
      <c r="K19" s="8" t="s">
        <v>40</v>
      </c>
      <c r="L19" s="8">
        <v>1</v>
      </c>
      <c r="M19" s="8">
        <v>0</v>
      </c>
      <c r="N19" s="10">
        <v>0</v>
      </c>
      <c r="O19" s="10">
        <v>0</v>
      </c>
      <c r="P19" s="10">
        <v>1</v>
      </c>
      <c r="Q19" s="10" t="s">
        <v>66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3">
        <v>1</v>
      </c>
      <c r="X19" s="13">
        <v>0</v>
      </c>
      <c r="Y19" s="14" t="s">
        <v>43</v>
      </c>
      <c r="Z19" s="15" t="s">
        <v>36</v>
      </c>
      <c r="AA19" s="15" t="s">
        <v>40</v>
      </c>
      <c r="AB19" s="15">
        <v>2</v>
      </c>
      <c r="AC19" s="15">
        <v>18</v>
      </c>
    </row>
    <row r="20" spans="1:29" ht="13.2" x14ac:dyDescent="0.25">
      <c r="A20" s="2">
        <v>45666.550106736111</v>
      </c>
      <c r="B20" s="7" t="s">
        <v>101</v>
      </c>
      <c r="C20" s="7">
        <v>20</v>
      </c>
      <c r="D20" s="7" t="s">
        <v>72</v>
      </c>
      <c r="E20" s="7" t="s">
        <v>31</v>
      </c>
      <c r="F20" s="7" t="s">
        <v>94</v>
      </c>
      <c r="G20" s="7">
        <v>7</v>
      </c>
      <c r="H20" s="7" t="s">
        <v>37</v>
      </c>
      <c r="I20" s="8">
        <v>0</v>
      </c>
      <c r="J20" s="8" t="s">
        <v>35</v>
      </c>
      <c r="K20" s="8" t="s">
        <v>40</v>
      </c>
      <c r="L20" s="8">
        <v>0</v>
      </c>
      <c r="M20" s="8">
        <v>1</v>
      </c>
      <c r="N20" s="10">
        <v>0</v>
      </c>
      <c r="O20" s="10">
        <v>0</v>
      </c>
      <c r="P20" s="10">
        <v>1</v>
      </c>
      <c r="Q20" s="10" t="s">
        <v>66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3">
        <v>1</v>
      </c>
      <c r="X20" s="13">
        <v>1</v>
      </c>
      <c r="Y20" s="14" t="s">
        <v>33</v>
      </c>
      <c r="Z20" s="15" t="s">
        <v>102</v>
      </c>
      <c r="AA20" s="15" t="s">
        <v>34</v>
      </c>
      <c r="AB20" s="15">
        <v>3</v>
      </c>
      <c r="AC20" s="15">
        <v>15</v>
      </c>
    </row>
    <row r="21" spans="1:29" ht="13.2" x14ac:dyDescent="0.25">
      <c r="A21" s="2">
        <v>45666.555421840283</v>
      </c>
      <c r="B21" s="7" t="s">
        <v>103</v>
      </c>
      <c r="C21" s="7">
        <v>19</v>
      </c>
      <c r="D21" s="7" t="s">
        <v>30</v>
      </c>
      <c r="E21" s="7" t="s">
        <v>104</v>
      </c>
      <c r="F21" s="7" t="s">
        <v>50</v>
      </c>
      <c r="G21" s="7">
        <v>8</v>
      </c>
      <c r="H21" s="7" t="s">
        <v>40</v>
      </c>
      <c r="I21" s="8">
        <v>0</v>
      </c>
      <c r="J21" s="9"/>
      <c r="K21" s="8" t="s">
        <v>40</v>
      </c>
      <c r="L21" s="8">
        <v>0</v>
      </c>
      <c r="M21" s="8">
        <v>0</v>
      </c>
      <c r="N21" s="10">
        <v>0</v>
      </c>
      <c r="O21" s="10">
        <v>0</v>
      </c>
      <c r="P21" s="10">
        <v>0</v>
      </c>
      <c r="Q21" s="11"/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3">
        <v>1</v>
      </c>
      <c r="X21" s="13">
        <v>0</v>
      </c>
      <c r="Y21" s="14" t="s">
        <v>33</v>
      </c>
      <c r="Z21" s="15" t="s">
        <v>40</v>
      </c>
      <c r="AA21" s="15" t="s">
        <v>40</v>
      </c>
      <c r="AB21" s="15">
        <v>2</v>
      </c>
      <c r="AC21" s="15">
        <v>18</v>
      </c>
    </row>
    <row r="22" spans="1:29" ht="13.2" x14ac:dyDescent="0.25">
      <c r="A22" s="2">
        <v>45666.558618229166</v>
      </c>
      <c r="B22" s="7" t="s">
        <v>105</v>
      </c>
      <c r="C22" s="7">
        <v>18</v>
      </c>
      <c r="D22" s="7" t="s">
        <v>30</v>
      </c>
      <c r="E22" s="7" t="s">
        <v>49</v>
      </c>
      <c r="F22" s="7" t="s">
        <v>50</v>
      </c>
      <c r="G22" s="7">
        <v>6</v>
      </c>
      <c r="H22" s="7" t="s">
        <v>40</v>
      </c>
      <c r="I22" s="8">
        <v>0</v>
      </c>
      <c r="J22" s="8" t="s">
        <v>106</v>
      </c>
      <c r="K22" s="8" t="s">
        <v>40</v>
      </c>
      <c r="L22" s="8">
        <v>0</v>
      </c>
      <c r="M22" s="8">
        <v>0</v>
      </c>
      <c r="N22" s="10">
        <v>0</v>
      </c>
      <c r="O22" s="10">
        <v>0</v>
      </c>
      <c r="P22" s="10">
        <v>0</v>
      </c>
      <c r="Q22" s="11"/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3">
        <v>0</v>
      </c>
      <c r="X22" s="13">
        <v>0</v>
      </c>
      <c r="Y22" s="14" t="s">
        <v>33</v>
      </c>
      <c r="Z22" s="15" t="s">
        <v>40</v>
      </c>
      <c r="AA22" s="15" t="s">
        <v>40</v>
      </c>
      <c r="AB22" s="15">
        <v>2</v>
      </c>
      <c r="AC22" s="15">
        <v>15</v>
      </c>
    </row>
    <row r="23" spans="1:29" ht="13.2" x14ac:dyDescent="0.25">
      <c r="A23" s="2">
        <v>45666.561705532411</v>
      </c>
      <c r="B23" s="7" t="s">
        <v>107</v>
      </c>
      <c r="C23" s="7">
        <v>19</v>
      </c>
      <c r="D23" s="7" t="s">
        <v>72</v>
      </c>
      <c r="E23" s="7" t="s">
        <v>104</v>
      </c>
      <c r="F23" s="7" t="s">
        <v>50</v>
      </c>
      <c r="G23" s="7">
        <v>6</v>
      </c>
      <c r="H23" s="7" t="s">
        <v>37</v>
      </c>
      <c r="I23" s="8">
        <v>0</v>
      </c>
      <c r="J23" s="8" t="s">
        <v>35</v>
      </c>
      <c r="K23" s="8" t="s">
        <v>40</v>
      </c>
      <c r="L23" s="8">
        <v>0</v>
      </c>
      <c r="M23" s="8">
        <v>1</v>
      </c>
      <c r="N23" s="10">
        <v>0</v>
      </c>
      <c r="O23" s="10">
        <v>0</v>
      </c>
      <c r="P23" s="10">
        <v>1</v>
      </c>
      <c r="Q23" s="10" t="s">
        <v>66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3">
        <v>1</v>
      </c>
      <c r="X23" s="13">
        <v>0</v>
      </c>
      <c r="Y23" s="14" t="s">
        <v>43</v>
      </c>
      <c r="Z23" s="15" t="s">
        <v>36</v>
      </c>
      <c r="AA23" s="15" t="s">
        <v>40</v>
      </c>
      <c r="AB23" s="15">
        <v>3</v>
      </c>
      <c r="AC23" s="15">
        <v>15</v>
      </c>
    </row>
    <row r="24" spans="1:29" ht="13.2" x14ac:dyDescent="0.25">
      <c r="A24" s="2">
        <v>45666.563568541664</v>
      </c>
      <c r="B24" s="7" t="s">
        <v>108</v>
      </c>
      <c r="C24" s="7">
        <v>19</v>
      </c>
      <c r="D24" s="7" t="s">
        <v>72</v>
      </c>
      <c r="E24" s="7" t="s">
        <v>104</v>
      </c>
      <c r="F24" s="7" t="s">
        <v>50</v>
      </c>
      <c r="G24" s="7">
        <v>6</v>
      </c>
      <c r="H24" s="7" t="s">
        <v>37</v>
      </c>
      <c r="I24" s="8">
        <v>0</v>
      </c>
      <c r="J24" s="8" t="s">
        <v>82</v>
      </c>
      <c r="K24" s="8" t="s">
        <v>40</v>
      </c>
      <c r="L24" s="8">
        <v>1</v>
      </c>
      <c r="M24" s="8">
        <v>1</v>
      </c>
      <c r="N24" s="10">
        <v>0</v>
      </c>
      <c r="O24" s="10">
        <v>0</v>
      </c>
      <c r="P24" s="10">
        <v>0</v>
      </c>
      <c r="Q24" s="11"/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3">
        <v>1</v>
      </c>
      <c r="X24" s="13">
        <v>0</v>
      </c>
      <c r="Y24" s="14" t="s">
        <v>33</v>
      </c>
      <c r="Z24" s="15" t="s">
        <v>40</v>
      </c>
      <c r="AA24" s="15" t="s">
        <v>34</v>
      </c>
      <c r="AB24" s="15">
        <v>2</v>
      </c>
      <c r="AC24" s="15">
        <v>10</v>
      </c>
    </row>
    <row r="25" spans="1:29" ht="13.2" x14ac:dyDescent="0.25">
      <c r="A25" s="2">
        <v>45666.56606271991</v>
      </c>
      <c r="B25" s="7" t="s">
        <v>109</v>
      </c>
      <c r="C25" s="7">
        <v>22</v>
      </c>
      <c r="D25" s="7" t="s">
        <v>72</v>
      </c>
      <c r="E25" s="7" t="s">
        <v>104</v>
      </c>
      <c r="F25" s="7" t="s">
        <v>50</v>
      </c>
      <c r="G25" s="7">
        <v>6</v>
      </c>
      <c r="H25" s="7" t="s">
        <v>40</v>
      </c>
      <c r="I25" s="8">
        <v>0</v>
      </c>
      <c r="J25" s="9"/>
      <c r="K25" s="8" t="s">
        <v>40</v>
      </c>
      <c r="L25" s="8">
        <v>0</v>
      </c>
      <c r="M25" s="8">
        <v>0</v>
      </c>
      <c r="N25" s="10">
        <v>0</v>
      </c>
      <c r="O25" s="10">
        <v>0</v>
      </c>
      <c r="P25" s="10">
        <v>0</v>
      </c>
      <c r="Q25" s="11"/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3">
        <v>1</v>
      </c>
      <c r="X25" s="13">
        <v>0</v>
      </c>
      <c r="Y25" s="14" t="s">
        <v>43</v>
      </c>
      <c r="Z25" s="15" t="s">
        <v>36</v>
      </c>
      <c r="AA25" s="15" t="s">
        <v>34</v>
      </c>
      <c r="AB25" s="15">
        <v>2</v>
      </c>
      <c r="AC25" s="15">
        <v>15</v>
      </c>
    </row>
    <row r="26" spans="1:29" ht="13.2" x14ac:dyDescent="0.25">
      <c r="A26" s="2">
        <v>45666.56847027778</v>
      </c>
      <c r="B26" s="7" t="s">
        <v>110</v>
      </c>
      <c r="C26" s="7">
        <v>21</v>
      </c>
      <c r="D26" s="7" t="s">
        <v>30</v>
      </c>
      <c r="E26" s="7" t="s">
        <v>64</v>
      </c>
      <c r="F26" s="7" t="s">
        <v>97</v>
      </c>
      <c r="G26" s="7">
        <v>6</v>
      </c>
      <c r="H26" s="7" t="s">
        <v>37</v>
      </c>
      <c r="I26" s="8">
        <v>0</v>
      </c>
      <c r="J26" s="8" t="s">
        <v>35</v>
      </c>
      <c r="K26" s="8" t="s">
        <v>40</v>
      </c>
      <c r="L26" s="8">
        <v>0</v>
      </c>
      <c r="M26" s="8">
        <v>1</v>
      </c>
      <c r="N26" s="10">
        <v>0</v>
      </c>
      <c r="O26" s="10">
        <v>0</v>
      </c>
      <c r="P26" s="10">
        <v>2</v>
      </c>
      <c r="Q26" s="10" t="s">
        <v>66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3">
        <v>0</v>
      </c>
      <c r="X26" s="13">
        <v>1</v>
      </c>
      <c r="Y26" s="14" t="s">
        <v>33</v>
      </c>
      <c r="Z26" s="15" t="s">
        <v>36</v>
      </c>
      <c r="AA26" s="15" t="s">
        <v>40</v>
      </c>
      <c r="AB26" s="15">
        <v>1</v>
      </c>
      <c r="AC26" s="15">
        <v>7</v>
      </c>
    </row>
    <row r="27" spans="1:29" ht="13.2" x14ac:dyDescent="0.25">
      <c r="A27" s="2">
        <v>45666.568944583334</v>
      </c>
      <c r="B27" s="7" t="s">
        <v>111</v>
      </c>
      <c r="C27" s="7">
        <v>21</v>
      </c>
      <c r="D27" s="7" t="s">
        <v>72</v>
      </c>
      <c r="E27" s="7" t="s">
        <v>64</v>
      </c>
      <c r="F27" s="7" t="s">
        <v>50</v>
      </c>
      <c r="G27" s="7">
        <v>7</v>
      </c>
      <c r="H27" s="7" t="s">
        <v>37</v>
      </c>
      <c r="I27" s="8">
        <v>0</v>
      </c>
      <c r="J27" s="8" t="s">
        <v>35</v>
      </c>
      <c r="K27" s="8" t="s">
        <v>40</v>
      </c>
      <c r="L27" s="8">
        <v>1</v>
      </c>
      <c r="M27" s="8">
        <v>0</v>
      </c>
      <c r="N27" s="10">
        <v>0</v>
      </c>
      <c r="O27" s="10">
        <v>0</v>
      </c>
      <c r="P27" s="10">
        <v>1</v>
      </c>
      <c r="Q27" s="10" t="s">
        <v>66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3">
        <v>1</v>
      </c>
      <c r="X27" s="13">
        <v>0</v>
      </c>
      <c r="Y27" s="14" t="s">
        <v>43</v>
      </c>
      <c r="Z27" s="15" t="s">
        <v>46</v>
      </c>
      <c r="AA27" s="15" t="s">
        <v>40</v>
      </c>
      <c r="AB27" s="15">
        <v>4</v>
      </c>
      <c r="AC27" s="15">
        <v>20</v>
      </c>
    </row>
    <row r="28" spans="1:29" ht="13.2" x14ac:dyDescent="0.25">
      <c r="A28" s="2">
        <v>45666.569809062501</v>
      </c>
      <c r="B28" s="7" t="s">
        <v>112</v>
      </c>
      <c r="C28" s="7">
        <v>21</v>
      </c>
      <c r="D28" s="7" t="s">
        <v>30</v>
      </c>
      <c r="E28" s="7" t="s">
        <v>64</v>
      </c>
      <c r="F28" s="7" t="s">
        <v>97</v>
      </c>
      <c r="G28" s="7">
        <v>7</v>
      </c>
      <c r="H28" s="7" t="s">
        <v>37</v>
      </c>
      <c r="I28" s="8">
        <v>0</v>
      </c>
      <c r="J28" s="8" t="s">
        <v>35</v>
      </c>
      <c r="K28" s="8" t="s">
        <v>37</v>
      </c>
      <c r="L28" s="8">
        <v>0</v>
      </c>
      <c r="M28" s="8">
        <v>1</v>
      </c>
      <c r="N28" s="10">
        <v>0</v>
      </c>
      <c r="O28" s="10">
        <v>0</v>
      </c>
      <c r="P28" s="10">
        <v>0</v>
      </c>
      <c r="Q28" s="11"/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3">
        <v>0</v>
      </c>
      <c r="X28" s="13">
        <v>0</v>
      </c>
      <c r="Y28" s="14" t="s">
        <v>43</v>
      </c>
      <c r="Z28" s="15" t="s">
        <v>36</v>
      </c>
      <c r="AA28" s="15" t="s">
        <v>60</v>
      </c>
      <c r="AB28" s="15">
        <v>1</v>
      </c>
      <c r="AC28" s="15">
        <v>6</v>
      </c>
    </row>
    <row r="29" spans="1:29" ht="13.2" x14ac:dyDescent="0.25">
      <c r="A29" s="2">
        <v>45666.571974432867</v>
      </c>
      <c r="B29" s="7" t="s">
        <v>113</v>
      </c>
      <c r="C29" s="7">
        <v>20</v>
      </c>
      <c r="D29" s="7" t="s">
        <v>30</v>
      </c>
      <c r="E29" s="7" t="s">
        <v>31</v>
      </c>
      <c r="F29" s="7" t="s">
        <v>97</v>
      </c>
      <c r="G29" s="7">
        <v>6</v>
      </c>
      <c r="H29" s="7" t="s">
        <v>37</v>
      </c>
      <c r="I29" s="8">
        <v>0</v>
      </c>
      <c r="J29" s="8" t="s">
        <v>40</v>
      </c>
      <c r="K29" s="8" t="s">
        <v>40</v>
      </c>
      <c r="L29" s="8">
        <v>0</v>
      </c>
      <c r="M29" s="8">
        <v>0</v>
      </c>
      <c r="N29" s="10">
        <v>0</v>
      </c>
      <c r="O29" s="10">
        <v>0</v>
      </c>
      <c r="P29" s="10">
        <v>1</v>
      </c>
      <c r="Q29" s="11"/>
      <c r="R29" s="12">
        <v>0</v>
      </c>
      <c r="S29" s="12">
        <v>0</v>
      </c>
      <c r="T29" s="12">
        <v>0</v>
      </c>
      <c r="U29" s="12">
        <v>1</v>
      </c>
      <c r="V29" s="12">
        <v>1</v>
      </c>
      <c r="W29" s="13">
        <v>1</v>
      </c>
      <c r="X29" s="13">
        <v>0</v>
      </c>
      <c r="Y29" s="14" t="s">
        <v>51</v>
      </c>
      <c r="Z29" s="15" t="s">
        <v>102</v>
      </c>
      <c r="AA29" s="15" t="s">
        <v>60</v>
      </c>
      <c r="AB29" s="15">
        <v>2</v>
      </c>
      <c r="AC29" s="15">
        <v>15</v>
      </c>
    </row>
    <row r="30" spans="1:29" ht="13.2" x14ac:dyDescent="0.25">
      <c r="A30" s="2">
        <v>45666.576947592592</v>
      </c>
      <c r="B30" s="7" t="s">
        <v>114</v>
      </c>
      <c r="C30" s="7">
        <v>21</v>
      </c>
      <c r="D30" s="7" t="s">
        <v>72</v>
      </c>
      <c r="E30" s="7" t="s">
        <v>104</v>
      </c>
      <c r="F30" s="7" t="s">
        <v>55</v>
      </c>
      <c r="G30" s="7">
        <v>6</v>
      </c>
      <c r="H30" s="7" t="s">
        <v>40</v>
      </c>
      <c r="I30" s="8">
        <v>0</v>
      </c>
      <c r="J30" s="9"/>
      <c r="K30" s="8" t="s">
        <v>40</v>
      </c>
      <c r="L30" s="8">
        <v>0</v>
      </c>
      <c r="M30" s="8">
        <v>0</v>
      </c>
      <c r="N30" s="10">
        <v>0</v>
      </c>
      <c r="O30" s="10">
        <v>0</v>
      </c>
      <c r="P30" s="10">
        <v>0</v>
      </c>
      <c r="Q30" s="11"/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3">
        <v>1</v>
      </c>
      <c r="X30" s="13">
        <v>0</v>
      </c>
      <c r="Y30" s="14" t="s">
        <v>33</v>
      </c>
      <c r="Z30" s="15" t="s">
        <v>40</v>
      </c>
      <c r="AA30" s="15" t="s">
        <v>85</v>
      </c>
      <c r="AB30" s="15">
        <v>3</v>
      </c>
      <c r="AC30" s="15">
        <v>15</v>
      </c>
    </row>
    <row r="31" spans="1:29" ht="13.2" x14ac:dyDescent="0.25">
      <c r="A31" s="2">
        <v>45666.578256238427</v>
      </c>
      <c r="B31" s="7" t="s">
        <v>115</v>
      </c>
      <c r="C31" s="7">
        <v>21</v>
      </c>
      <c r="D31" s="7" t="s">
        <v>72</v>
      </c>
      <c r="E31" s="7" t="s">
        <v>31</v>
      </c>
      <c r="F31" s="7" t="s">
        <v>55</v>
      </c>
      <c r="G31" s="7">
        <v>6</v>
      </c>
      <c r="H31" s="7" t="s">
        <v>37</v>
      </c>
      <c r="I31" s="8">
        <v>0</v>
      </c>
      <c r="J31" s="8" t="s">
        <v>35</v>
      </c>
      <c r="K31" s="8" t="s">
        <v>40</v>
      </c>
      <c r="L31" s="8">
        <v>0</v>
      </c>
      <c r="M31" s="8">
        <v>1</v>
      </c>
      <c r="N31" s="10">
        <v>0</v>
      </c>
      <c r="O31" s="10">
        <v>0</v>
      </c>
      <c r="P31" s="10">
        <v>0</v>
      </c>
      <c r="Q31" s="11"/>
      <c r="R31" s="12">
        <v>1</v>
      </c>
      <c r="S31" s="12">
        <v>0</v>
      </c>
      <c r="T31" s="12">
        <v>0</v>
      </c>
      <c r="U31" s="12">
        <v>0</v>
      </c>
      <c r="V31" s="12">
        <v>0</v>
      </c>
      <c r="W31" s="13">
        <v>4</v>
      </c>
      <c r="X31" s="13">
        <v>0</v>
      </c>
      <c r="Y31" s="14" t="s">
        <v>43</v>
      </c>
      <c r="Z31" s="15" t="s">
        <v>102</v>
      </c>
      <c r="AA31" s="15" t="s">
        <v>65</v>
      </c>
      <c r="AB31" s="15">
        <v>1</v>
      </c>
      <c r="AC31" s="15">
        <v>12</v>
      </c>
    </row>
    <row r="32" spans="1:29" ht="13.2" x14ac:dyDescent="0.25">
      <c r="A32" s="2">
        <v>45666.578612986108</v>
      </c>
      <c r="B32" s="7" t="s">
        <v>116</v>
      </c>
      <c r="C32" s="7">
        <v>18</v>
      </c>
      <c r="D32" s="7" t="s">
        <v>30</v>
      </c>
      <c r="E32" s="7" t="s">
        <v>49</v>
      </c>
      <c r="F32" s="7" t="s">
        <v>55</v>
      </c>
      <c r="G32" s="7">
        <v>8</v>
      </c>
      <c r="H32" s="7" t="s">
        <v>40</v>
      </c>
      <c r="I32" s="8">
        <v>0</v>
      </c>
      <c r="J32" s="9"/>
      <c r="K32" s="8" t="s">
        <v>40</v>
      </c>
      <c r="L32" s="8">
        <v>0</v>
      </c>
      <c r="M32" s="8">
        <v>0</v>
      </c>
      <c r="N32" s="10">
        <v>0</v>
      </c>
      <c r="O32" s="10">
        <v>0</v>
      </c>
      <c r="P32" s="10">
        <v>1</v>
      </c>
      <c r="Q32" s="10" t="s">
        <v>66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3">
        <v>1</v>
      </c>
      <c r="X32" s="13">
        <v>0</v>
      </c>
      <c r="Y32" s="14" t="s">
        <v>117</v>
      </c>
      <c r="Z32" s="15" t="s">
        <v>40</v>
      </c>
      <c r="AA32" s="15" t="s">
        <v>44</v>
      </c>
      <c r="AB32" s="15">
        <v>2</v>
      </c>
      <c r="AC32" s="15">
        <v>18</v>
      </c>
    </row>
    <row r="33" spans="1:29" ht="13.2" x14ac:dyDescent="0.25">
      <c r="A33" s="2">
        <v>45666.582152754629</v>
      </c>
      <c r="B33" s="7" t="s">
        <v>118</v>
      </c>
      <c r="C33" s="7">
        <v>20</v>
      </c>
      <c r="D33" s="7" t="s">
        <v>30</v>
      </c>
      <c r="E33" s="7" t="s">
        <v>104</v>
      </c>
      <c r="F33" s="7" t="s">
        <v>32</v>
      </c>
      <c r="G33" s="7">
        <v>7</v>
      </c>
      <c r="H33" s="7" t="s">
        <v>37</v>
      </c>
      <c r="I33" s="8">
        <v>0</v>
      </c>
      <c r="J33" s="8" t="s">
        <v>45</v>
      </c>
      <c r="K33" s="8" t="s">
        <v>37</v>
      </c>
      <c r="L33" s="8">
        <v>1</v>
      </c>
      <c r="M33" s="8">
        <v>0</v>
      </c>
      <c r="N33" s="10">
        <v>0</v>
      </c>
      <c r="O33" s="10">
        <v>0</v>
      </c>
      <c r="P33" s="10">
        <v>1</v>
      </c>
      <c r="Q33" s="10" t="s">
        <v>119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3">
        <v>1</v>
      </c>
      <c r="X33" s="13">
        <v>0</v>
      </c>
      <c r="Y33" s="14" t="s">
        <v>33</v>
      </c>
      <c r="Z33" s="15" t="s">
        <v>76</v>
      </c>
      <c r="AA33" s="15" t="s">
        <v>40</v>
      </c>
      <c r="AB33" s="15">
        <v>2</v>
      </c>
      <c r="AC33" s="15">
        <v>20</v>
      </c>
    </row>
    <row r="34" spans="1:29" ht="13.2" x14ac:dyDescent="0.25">
      <c r="A34" s="2">
        <v>45666.583501678237</v>
      </c>
      <c r="B34" s="7" t="s">
        <v>120</v>
      </c>
      <c r="C34" s="7">
        <v>19</v>
      </c>
      <c r="D34" s="7" t="s">
        <v>30</v>
      </c>
      <c r="E34" s="7" t="s">
        <v>104</v>
      </c>
      <c r="F34" s="7" t="s">
        <v>32</v>
      </c>
      <c r="G34" s="7">
        <v>6</v>
      </c>
      <c r="H34" s="7" t="s">
        <v>37</v>
      </c>
      <c r="I34" s="8">
        <v>0</v>
      </c>
      <c r="J34" s="8" t="s">
        <v>35</v>
      </c>
      <c r="K34" s="8" t="s">
        <v>40</v>
      </c>
      <c r="L34" s="8">
        <v>1</v>
      </c>
      <c r="M34" s="8">
        <v>1</v>
      </c>
      <c r="N34" s="10">
        <v>0</v>
      </c>
      <c r="O34" s="10">
        <v>0</v>
      </c>
      <c r="P34" s="10">
        <v>1</v>
      </c>
      <c r="Q34" s="10" t="s">
        <v>66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3">
        <v>1</v>
      </c>
      <c r="X34" s="13">
        <v>0</v>
      </c>
      <c r="Y34" s="14" t="s">
        <v>43</v>
      </c>
      <c r="Z34" s="15" t="s">
        <v>74</v>
      </c>
      <c r="AA34" s="15" t="s">
        <v>40</v>
      </c>
      <c r="AB34" s="15">
        <v>3</v>
      </c>
      <c r="AC34" s="15">
        <v>15</v>
      </c>
    </row>
    <row r="35" spans="1:29" ht="13.2" x14ac:dyDescent="0.25">
      <c r="A35" s="2">
        <v>45666.585485462958</v>
      </c>
      <c r="B35" s="7" t="s">
        <v>121</v>
      </c>
      <c r="C35" s="7">
        <v>18</v>
      </c>
      <c r="D35" s="7" t="s">
        <v>72</v>
      </c>
      <c r="E35" s="7" t="s">
        <v>104</v>
      </c>
      <c r="F35" s="7" t="s">
        <v>122</v>
      </c>
      <c r="G35" s="7">
        <v>7</v>
      </c>
      <c r="H35" s="7" t="s">
        <v>37</v>
      </c>
      <c r="I35" s="8">
        <v>0</v>
      </c>
      <c r="J35" s="9"/>
      <c r="K35" s="8" t="s">
        <v>40</v>
      </c>
      <c r="L35" s="8">
        <v>0</v>
      </c>
      <c r="M35" s="8">
        <v>0</v>
      </c>
      <c r="N35" s="10">
        <v>0</v>
      </c>
      <c r="O35" s="10">
        <v>0</v>
      </c>
      <c r="P35" s="10">
        <v>2</v>
      </c>
      <c r="Q35" s="10" t="s">
        <v>66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3">
        <v>1</v>
      </c>
      <c r="X35" s="13">
        <v>0</v>
      </c>
      <c r="Y35" s="14" t="s">
        <v>33</v>
      </c>
      <c r="Z35" s="15" t="s">
        <v>74</v>
      </c>
      <c r="AA35" s="15" t="s">
        <v>34</v>
      </c>
      <c r="AB35" s="15">
        <v>3</v>
      </c>
      <c r="AC35" s="15">
        <v>15</v>
      </c>
    </row>
    <row r="36" spans="1:29" ht="13.2" x14ac:dyDescent="0.25">
      <c r="A36" s="2">
        <v>45666.586970706019</v>
      </c>
      <c r="B36" s="7" t="s">
        <v>123</v>
      </c>
      <c r="C36" s="7">
        <v>21</v>
      </c>
      <c r="D36" s="7" t="s">
        <v>72</v>
      </c>
      <c r="E36" s="7" t="s">
        <v>104</v>
      </c>
      <c r="F36" s="7" t="s">
        <v>122</v>
      </c>
      <c r="G36" s="7">
        <v>6</v>
      </c>
      <c r="H36" s="7" t="s">
        <v>37</v>
      </c>
      <c r="I36" s="8">
        <v>0</v>
      </c>
      <c r="J36" s="8" t="s">
        <v>35</v>
      </c>
      <c r="K36" s="8" t="s">
        <v>40</v>
      </c>
      <c r="L36" s="8">
        <v>0</v>
      </c>
      <c r="M36" s="8">
        <v>1</v>
      </c>
      <c r="N36" s="10">
        <v>0</v>
      </c>
      <c r="O36" s="10">
        <v>0</v>
      </c>
      <c r="P36" s="10">
        <v>0</v>
      </c>
      <c r="Q36" s="11"/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3">
        <v>1</v>
      </c>
      <c r="X36" s="13">
        <v>0</v>
      </c>
      <c r="Y36" s="14" t="s">
        <v>43</v>
      </c>
      <c r="Z36" s="15" t="s">
        <v>40</v>
      </c>
      <c r="AA36" s="15" t="s">
        <v>40</v>
      </c>
      <c r="AB36" s="15">
        <v>3</v>
      </c>
      <c r="AC36" s="15">
        <v>15</v>
      </c>
    </row>
    <row r="37" spans="1:29" ht="13.2" x14ac:dyDescent="0.25">
      <c r="A37" s="2">
        <v>45666.589985729166</v>
      </c>
      <c r="B37" s="7" t="s">
        <v>124</v>
      </c>
      <c r="C37" s="7">
        <v>20</v>
      </c>
      <c r="D37" s="7" t="s">
        <v>72</v>
      </c>
      <c r="E37" s="7" t="s">
        <v>31</v>
      </c>
      <c r="F37" s="7" t="s">
        <v>55</v>
      </c>
      <c r="G37" s="7">
        <v>8</v>
      </c>
      <c r="H37" s="7" t="s">
        <v>37</v>
      </c>
      <c r="I37" s="8">
        <v>0</v>
      </c>
      <c r="J37" s="8" t="s">
        <v>35</v>
      </c>
      <c r="K37" s="8" t="s">
        <v>40</v>
      </c>
      <c r="L37" s="8">
        <v>0</v>
      </c>
      <c r="M37" s="8">
        <v>1</v>
      </c>
      <c r="N37" s="10">
        <v>0</v>
      </c>
      <c r="O37" s="10">
        <v>0</v>
      </c>
      <c r="P37" s="10">
        <v>2</v>
      </c>
      <c r="Q37" s="10" t="s">
        <v>66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3">
        <v>0</v>
      </c>
      <c r="X37" s="13">
        <v>0</v>
      </c>
      <c r="Y37" s="14" t="s">
        <v>33</v>
      </c>
      <c r="Z37" s="15" t="s">
        <v>69</v>
      </c>
      <c r="AA37" s="15" t="s">
        <v>40</v>
      </c>
      <c r="AB37" s="15">
        <v>3</v>
      </c>
      <c r="AC37" s="15">
        <v>10</v>
      </c>
    </row>
    <row r="38" spans="1:29" ht="13.2" x14ac:dyDescent="0.25">
      <c r="A38" s="2">
        <v>45666.591860231478</v>
      </c>
      <c r="B38" s="7" t="s">
        <v>125</v>
      </c>
      <c r="C38" s="7">
        <v>20</v>
      </c>
      <c r="D38" s="7" t="s">
        <v>72</v>
      </c>
      <c r="E38" s="7" t="s">
        <v>31</v>
      </c>
      <c r="F38" s="7" t="s">
        <v>55</v>
      </c>
      <c r="G38" s="7">
        <v>8</v>
      </c>
      <c r="H38" s="7" t="s">
        <v>37</v>
      </c>
      <c r="I38" s="8">
        <v>0</v>
      </c>
      <c r="J38" s="9"/>
      <c r="K38" s="8" t="s">
        <v>40</v>
      </c>
      <c r="L38" s="8">
        <v>0</v>
      </c>
      <c r="M38" s="8">
        <v>0</v>
      </c>
      <c r="N38" s="10">
        <v>1</v>
      </c>
      <c r="O38" s="10">
        <v>0</v>
      </c>
      <c r="P38" s="10">
        <v>0</v>
      </c>
      <c r="Q38" s="10" t="s">
        <v>127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3">
        <v>0</v>
      </c>
      <c r="X38" s="13">
        <v>0</v>
      </c>
      <c r="Y38" s="14" t="s">
        <v>33</v>
      </c>
      <c r="Z38" s="15" t="s">
        <v>69</v>
      </c>
      <c r="AA38" s="15" t="s">
        <v>126</v>
      </c>
      <c r="AB38" s="15">
        <v>3</v>
      </c>
      <c r="AC38" s="15">
        <v>18</v>
      </c>
    </row>
    <row r="39" spans="1:29" ht="15.75" customHeight="1" x14ac:dyDescent="0.25">
      <c r="A39" s="16"/>
      <c r="B39" s="17"/>
      <c r="C39" s="17"/>
      <c r="D39" s="17"/>
      <c r="E39" s="17"/>
      <c r="F39" s="17"/>
      <c r="G39" s="19" t="s">
        <v>128</v>
      </c>
      <c r="H39" s="19">
        <f>COUNTIF(Form_Responses1[Column45],"yes")</f>
        <v>30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18"/>
      <c r="Z39" s="18"/>
      <c r="AA39" s="18"/>
      <c r="AB39" s="5"/>
      <c r="AC39" s="5"/>
    </row>
    <row r="40" spans="1:29" ht="15.75" customHeight="1" x14ac:dyDescent="0.25">
      <c r="G40" s="20" t="s">
        <v>56</v>
      </c>
      <c r="H40" s="21">
        <f>COUNTIF(Form_Responses1[Column45],"no")</f>
        <v>7</v>
      </c>
    </row>
    <row r="45" spans="1:29" ht="15.75" customHeight="1" x14ac:dyDescent="0.25">
      <c r="K4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pilot 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S</dc:creator>
  <cp:lastModifiedBy>N S</cp:lastModifiedBy>
  <dcterms:created xsi:type="dcterms:W3CDTF">2025-01-10T11:07:29Z</dcterms:created>
  <dcterms:modified xsi:type="dcterms:W3CDTF">2025-02-27T05:32:51Z</dcterms:modified>
</cp:coreProperties>
</file>